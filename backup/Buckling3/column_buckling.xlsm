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XEngineering\"/>
    </mc:Choice>
  </mc:AlternateContent>
  <bookViews>
    <workbookView xWindow="0" yWindow="0" windowWidth="28800" windowHeight="12975" activeTab="4"/>
  </bookViews>
  <sheets>
    <sheet name="ColumnBuckling" sheetId="1" r:id="rId1"/>
    <sheet name="ColumnBuckling (2)" sheetId="2" r:id="rId2"/>
    <sheet name="ColumnBuckling (3)" sheetId="3" r:id="rId3"/>
    <sheet name="Sheet1" sheetId="4" r:id="rId4"/>
    <sheet name="ColumnBuckling (4)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5" l="1"/>
  <c r="H16" i="5"/>
  <c r="G16" i="5"/>
  <c r="H17" i="5"/>
  <c r="G18" i="5"/>
  <c r="D26" i="5"/>
  <c r="D18" i="5"/>
  <c r="D17" i="5"/>
  <c r="D25" i="5"/>
  <c r="D21" i="5"/>
  <c r="D20" i="5"/>
  <c r="D23" i="5" s="1"/>
  <c r="D19" i="5"/>
  <c r="D8" i="5"/>
  <c r="D9" i="5" s="1"/>
  <c r="D7" i="5"/>
  <c r="D28" i="1"/>
  <c r="D8" i="1"/>
  <c r="D9" i="1" s="1"/>
  <c r="D7" i="1"/>
  <c r="D19" i="1"/>
  <c r="D22" i="1" s="1"/>
  <c r="D18" i="1"/>
  <c r="E21" i="1" s="1"/>
  <c r="D22" i="5" l="1"/>
  <c r="D24" i="5" s="1"/>
  <c r="E22" i="1"/>
  <c r="F22" i="1" s="1"/>
  <c r="D24" i="1"/>
  <c r="D21" i="1"/>
  <c r="F21" i="1" s="1"/>
  <c r="D23" i="1" s="1"/>
  <c r="E44" i="3"/>
  <c r="E54" i="3"/>
  <c r="E55" i="3" s="1"/>
  <c r="E36" i="3"/>
  <c r="E34" i="3"/>
  <c r="E33" i="3"/>
  <c r="E32" i="3"/>
  <c r="E48" i="2"/>
  <c r="E47" i="2"/>
  <c r="E43" i="2"/>
  <c r="E44" i="2" s="1"/>
  <c r="E32" i="2"/>
  <c r="E34" i="2"/>
  <c r="E63" i="2"/>
  <c r="E75" i="2"/>
  <c r="E74" i="2"/>
  <c r="E66" i="2"/>
  <c r="H65" i="2"/>
  <c r="E64" i="2"/>
  <c r="E65" i="2"/>
  <c r="E36" i="2"/>
  <c r="E33" i="2"/>
  <c r="E50" i="2" s="1"/>
  <c r="D27" i="1" l="1"/>
  <c r="D26" i="1"/>
  <c r="E35" i="3"/>
  <c r="E48" i="3" s="1"/>
  <c r="E49" i="3" s="1"/>
  <c r="E50" i="3"/>
  <c r="E56" i="3"/>
  <c r="E58" i="3"/>
  <c r="E45" i="3"/>
  <c r="E51" i="3" s="1"/>
  <c r="E35" i="2"/>
  <c r="E51" i="2"/>
  <c r="E67" i="2"/>
  <c r="E73" i="2"/>
  <c r="E72" i="2"/>
  <c r="E70" i="2"/>
  <c r="E71" i="2" s="1"/>
  <c r="E59" i="3" l="1"/>
  <c r="E60" i="3" s="1"/>
  <c r="E61" i="3" s="1"/>
  <c r="E64" i="3" s="1"/>
  <c r="F64" i="3" s="1"/>
  <c r="F76" i="2"/>
  <c r="F77" i="2" s="1"/>
  <c r="F78" i="2" s="1"/>
  <c r="E76" i="2"/>
  <c r="E77" i="2" s="1"/>
  <c r="E78" i="2" s="1"/>
</calcChain>
</file>

<file path=xl/sharedStrings.xml><?xml version="1.0" encoding="utf-8"?>
<sst xmlns="http://schemas.openxmlformats.org/spreadsheetml/2006/main" count="286" uniqueCount="146">
  <si>
    <t>Buckled Shape of Column</t>
    <phoneticPr fontId="2" type="noConversion"/>
  </si>
  <si>
    <t>k =</t>
    <phoneticPr fontId="2" type="noConversion"/>
  </si>
  <si>
    <t>Lc =</t>
    <phoneticPr fontId="2" type="noConversion"/>
  </si>
  <si>
    <t>m</t>
    <phoneticPr fontId="2" type="noConversion"/>
  </si>
  <si>
    <t>E =</t>
    <phoneticPr fontId="2" type="noConversion"/>
  </si>
  <si>
    <t>MPa</t>
    <phoneticPr fontId="2" type="noConversion"/>
  </si>
  <si>
    <t>fy =</t>
    <phoneticPr fontId="2" type="noConversion"/>
  </si>
  <si>
    <t>I =</t>
    <phoneticPr fontId="2" type="noConversion"/>
  </si>
  <si>
    <t>A =</t>
    <phoneticPr fontId="2" type="noConversion"/>
  </si>
  <si>
    <t>t =</t>
    <phoneticPr fontId="2" type="noConversion"/>
  </si>
  <si>
    <t>D =</t>
    <phoneticPr fontId="2" type="noConversion"/>
  </si>
  <si>
    <t>mm</t>
    <phoneticPr fontId="2" type="noConversion"/>
  </si>
  <si>
    <t>ic =</t>
    <phoneticPr fontId="2" type="noConversion"/>
  </si>
  <si>
    <t>mm^4</t>
    <phoneticPr fontId="2" type="noConversion"/>
  </si>
  <si>
    <t>mm^2</t>
    <phoneticPr fontId="2" type="noConversion"/>
  </si>
  <si>
    <t xml:space="preserve">Bc = </t>
    <phoneticPr fontId="2" type="noConversion"/>
  </si>
  <si>
    <t>Pcr =</t>
    <phoneticPr fontId="2" type="noConversion"/>
  </si>
  <si>
    <t>N</t>
    <phoneticPr fontId="2" type="noConversion"/>
  </si>
  <si>
    <t>ton</t>
    <phoneticPr fontId="2" type="noConversion"/>
  </si>
  <si>
    <t>Fe =</t>
    <phoneticPr fontId="2" type="noConversion"/>
  </si>
  <si>
    <t>KL/r =</t>
    <phoneticPr fontId="2" type="noConversion"/>
  </si>
  <si>
    <t>Fcr =</t>
    <phoneticPr fontId="2" type="noConversion"/>
  </si>
  <si>
    <t>Column Buckling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</si>
  <si>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</si>
  <si>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</si>
  <si>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</si>
  <si>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</si>
  <si>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</si>
  <si>
    <t>E</t>
    <phoneticPr fontId="2" type="noConversion"/>
  </si>
  <si>
    <t>F</t>
    <phoneticPr fontId="2" type="noConversion"/>
  </si>
  <si>
    <t>Type</t>
    <phoneticPr fontId="2" type="noConversion"/>
  </si>
  <si>
    <t>K_th</t>
    <phoneticPr fontId="2" type="noConversion"/>
  </si>
  <si>
    <t>K_r</t>
    <phoneticPr fontId="2" type="noConversion"/>
  </si>
  <si>
    <t>.</t>
    <phoneticPr fontId="2" type="noConversion"/>
  </si>
  <si>
    <t>Column Data</t>
    <phoneticPr fontId="2" type="noConversion"/>
  </si>
  <si>
    <t>Out Diameter</t>
    <phoneticPr fontId="2" type="noConversion"/>
  </si>
  <si>
    <t>mm</t>
    <phoneticPr fontId="2" type="noConversion"/>
  </si>
  <si>
    <t>Plate thickness</t>
    <phoneticPr fontId="2" type="noConversion"/>
  </si>
  <si>
    <t>Length</t>
    <phoneticPr fontId="2" type="noConversion"/>
  </si>
  <si>
    <t>Area</t>
    <phoneticPr fontId="2" type="noConversion"/>
  </si>
  <si>
    <t>Inertia Moment</t>
    <phoneticPr fontId="2" type="noConversion"/>
  </si>
  <si>
    <t>Cylinerical</t>
    <phoneticPr fontId="2" type="noConversion"/>
  </si>
  <si>
    <t>cm^4</t>
    <phoneticPr fontId="2" type="noConversion"/>
  </si>
  <si>
    <t>mm^2</t>
    <phoneticPr fontId="2" type="noConversion"/>
  </si>
  <si>
    <t>D =</t>
    <phoneticPr fontId="2" type="noConversion"/>
  </si>
  <si>
    <t>t =</t>
    <phoneticPr fontId="2" type="noConversion"/>
  </si>
  <si>
    <t>Lc =</t>
    <phoneticPr fontId="2" type="noConversion"/>
  </si>
  <si>
    <t>A =</t>
    <phoneticPr fontId="2" type="noConversion"/>
  </si>
  <si>
    <t>I =</t>
    <phoneticPr fontId="2" type="noConversion"/>
  </si>
  <si>
    <t>K =</t>
    <phoneticPr fontId="2" type="noConversion"/>
  </si>
  <si>
    <t>Radius of gyration</t>
    <phoneticPr fontId="2" type="noConversion"/>
  </si>
  <si>
    <t>iC =</t>
    <phoneticPr fontId="2" type="noConversion"/>
  </si>
  <si>
    <t>Material Data</t>
    <phoneticPr fontId="2" type="noConversion"/>
  </si>
  <si>
    <t>E =</t>
    <phoneticPr fontId="2" type="noConversion"/>
  </si>
  <si>
    <t>MPa</t>
    <phoneticPr fontId="2" type="noConversion"/>
  </si>
  <si>
    <t>fy =</t>
    <phoneticPr fontId="2" type="noConversion"/>
  </si>
  <si>
    <t>SM490</t>
    <phoneticPr fontId="2" type="noConversion"/>
  </si>
  <si>
    <t>Elastic Modulus</t>
    <phoneticPr fontId="2" type="noConversion"/>
  </si>
  <si>
    <t>Yield Stress</t>
    <phoneticPr fontId="2" type="noConversion"/>
  </si>
  <si>
    <t>Effective length factor</t>
    <phoneticPr fontId="2" type="noConversion"/>
  </si>
  <si>
    <t xml:space="preserve">Euler buckling stress </t>
    <phoneticPr fontId="2" type="noConversion"/>
  </si>
  <si>
    <t>sE(C) =</t>
    <phoneticPr fontId="2" type="noConversion"/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</si>
  <si>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맑은 고딕"/>
        <family val="2"/>
        <charset val="129"/>
        <scheme val="minor"/>
      </rPr>
      <t>E(C) =</t>
    </r>
    <phoneticPr fontId="2" type="noConversion"/>
  </si>
  <si>
    <t>MPa</t>
    <phoneticPr fontId="2" type="noConversion"/>
  </si>
  <si>
    <t>Slenderness ratio of cyclinerical shell</t>
    <phoneticPr fontId="2" type="noConversion"/>
  </si>
  <si>
    <t>Calculated axial normal compressive stress</t>
    <phoneticPr fontId="2" type="noConversion"/>
  </si>
  <si>
    <t>Load Data</t>
    <phoneticPr fontId="2" type="noConversion"/>
  </si>
  <si>
    <t>Verical Force</t>
    <phoneticPr fontId="2" type="noConversion"/>
  </si>
  <si>
    <t>N</t>
    <phoneticPr fontId="2" type="noConversion"/>
  </si>
  <si>
    <t>Horizontal Force</t>
    <phoneticPr fontId="2" type="noConversion"/>
  </si>
  <si>
    <t>Calculated bending stress</t>
    <phoneticPr fontId="2" type="noConversion"/>
  </si>
  <si>
    <t>Column Type</t>
    <phoneticPr fontId="2" type="noConversion"/>
  </si>
  <si>
    <t>sa =</t>
    <phoneticPr fontId="2" type="noConversion"/>
  </si>
  <si>
    <t>sb =</t>
    <phoneticPr fontId="2" type="noConversion"/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</si>
  <si>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맑은 고딕"/>
        <family val="2"/>
        <charset val="129"/>
        <scheme val="minor"/>
      </rPr>
      <t>a =</t>
    </r>
    <phoneticPr fontId="2" type="noConversion"/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</si>
  <si>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맑은 고딕"/>
        <family val="2"/>
        <charset val="129"/>
        <scheme val="minor"/>
      </rPr>
      <t>b =</t>
    </r>
    <phoneticPr fontId="2" type="noConversion"/>
  </si>
  <si>
    <t>Proposional Ratio</t>
    <phoneticPr fontId="2" type="noConversion"/>
  </si>
  <si>
    <t>Pr =</t>
    <phoneticPr fontId="2" type="noConversion"/>
  </si>
  <si>
    <t>Nominal or lower bound knock-down factor to allow for shape imperfections</t>
    <phoneticPr fontId="2" type="noConversion"/>
  </si>
  <si>
    <r>
      <rPr>
        <sz val="11"/>
        <color theme="1"/>
        <rFont val="Symbol"/>
        <family val="1"/>
        <charset val="2"/>
      </rPr>
      <t>n</t>
    </r>
    <r>
      <rPr>
        <sz val="12.65"/>
        <color theme="1"/>
        <rFont val="Times New Roman"/>
        <family val="1"/>
      </rPr>
      <t xml:space="preserve"> =</t>
    </r>
    <phoneticPr fontId="2" type="noConversion"/>
  </si>
  <si>
    <t>l =</t>
    <phoneticPr fontId="2" type="noConversion"/>
  </si>
  <si>
    <t>mm</t>
    <phoneticPr fontId="2" type="noConversion"/>
  </si>
  <si>
    <t>r =</t>
    <phoneticPr fontId="2" type="noConversion"/>
  </si>
  <si>
    <t>z =</t>
    <phoneticPr fontId="2" type="noConversion"/>
  </si>
  <si>
    <t>Batdorf parameter</t>
    <phoneticPr fontId="2" type="noConversion"/>
  </si>
  <si>
    <r>
      <rPr>
        <sz val="11"/>
        <color theme="1"/>
        <rFont val="Symbol"/>
        <family val="1"/>
        <charset val="2"/>
      </rPr>
      <t>r</t>
    </r>
    <r>
      <rPr>
        <sz val="12.65"/>
        <color theme="1"/>
        <rFont val="Times New Roman"/>
        <family val="1"/>
      </rPr>
      <t>xR =</t>
    </r>
    <phoneticPr fontId="2" type="noConversion"/>
  </si>
  <si>
    <t>Length dependant coefficient</t>
    <phoneticPr fontId="2" type="noConversion"/>
  </si>
  <si>
    <t>C =</t>
    <phoneticPr fontId="2" type="noConversion"/>
  </si>
  <si>
    <t>Elastic compressive buckling stress for an imperfect cylindrical shell</t>
    <phoneticPr fontId="2" type="noConversion"/>
  </si>
  <si>
    <t>Classical compressive buckling stress for a perfect cylindrical shell</t>
    <phoneticPr fontId="2" type="noConversion"/>
  </si>
  <si>
    <t>sCExR =</t>
    <phoneticPr fontId="2" type="noConversion"/>
  </si>
  <si>
    <t>sExR =</t>
    <phoneticPr fontId="2" type="noConversion"/>
  </si>
  <si>
    <t>sCxR =</t>
    <phoneticPr fontId="2" type="noConversion"/>
  </si>
  <si>
    <t>sCa =</t>
    <phoneticPr fontId="2" type="noConversion"/>
  </si>
  <si>
    <t>uf =</t>
    <phoneticPr fontId="2" type="noConversion"/>
  </si>
  <si>
    <t>ufC =</t>
    <phoneticPr fontId="2" type="noConversion"/>
  </si>
  <si>
    <r>
      <rPr>
        <sz val="11"/>
        <color theme="1"/>
        <rFont val="Symbol"/>
        <family val="1"/>
        <charset val="2"/>
      </rPr>
      <t>y</t>
    </r>
    <r>
      <rPr>
        <sz val="12.65"/>
        <color theme="1"/>
        <rFont val="Times New Roman"/>
        <family val="1"/>
      </rPr>
      <t xml:space="preserve"> =</t>
    </r>
    <phoneticPr fontId="2" type="noConversion"/>
  </si>
  <si>
    <t>Maximum Allowable Strength Utilization Factors</t>
  </si>
  <si>
    <t>Adjustment Factor</t>
  </si>
  <si>
    <t>Critical compressive buckling stress</t>
    <phoneticPr fontId="2" type="noConversion"/>
  </si>
  <si>
    <t>Mean radius of cylindrical shell</t>
    <phoneticPr fontId="2" type="noConversion"/>
  </si>
  <si>
    <t>Moment of inertia of the cross section of the cylindrical shell</t>
    <phoneticPr fontId="2" type="noConversion"/>
  </si>
  <si>
    <t>Critical buckling stress for axial compression or bending moment</t>
    <phoneticPr fontId="2" type="noConversion"/>
  </si>
  <si>
    <t>l  =</t>
    <phoneticPr fontId="2" type="noConversion"/>
  </si>
  <si>
    <t>Buckling Strength Calculation</t>
    <phoneticPr fontId="2" type="noConversion"/>
  </si>
  <si>
    <t>Calculated Usage Factor</t>
    <phoneticPr fontId="2" type="noConversion"/>
  </si>
  <si>
    <r>
      <t xml:space="preserve">    for z </t>
    </r>
    <r>
      <rPr>
        <sz val="11"/>
        <color theme="1"/>
        <rFont val="Symbol"/>
        <family val="1"/>
        <charset val="2"/>
      </rPr>
      <t xml:space="preserve">  ³ </t>
    </r>
    <r>
      <rPr>
        <sz val="11"/>
        <color theme="1"/>
        <rFont val="Times New Roman"/>
        <family val="1"/>
      </rPr>
      <t>20</t>
    </r>
    <phoneticPr fontId="2" type="noConversion"/>
  </si>
  <si>
    <r>
      <t xml:space="preserve">    for z </t>
    </r>
    <r>
      <rPr>
        <sz val="11"/>
        <color theme="1"/>
        <rFont val="Symbol"/>
        <family val="1"/>
        <charset val="2"/>
      </rPr>
      <t xml:space="preserve">  ³ </t>
    </r>
    <r>
      <rPr>
        <sz val="11"/>
        <color theme="1"/>
        <rFont val="Times New Roman"/>
        <family val="1"/>
      </rPr>
      <t>2.85</t>
    </r>
    <phoneticPr fontId="2" type="noConversion"/>
  </si>
  <si>
    <t xml:space="preserve">   for sExR &gt; Pr*fy</t>
    <phoneticPr fontId="2" type="noConversion"/>
  </si>
  <si>
    <t xml:space="preserve">   for sE(C) &lt; Pr*sCx</t>
    <phoneticPr fontId="2" type="noConversion"/>
  </si>
  <si>
    <r>
      <t xml:space="preserve">   if sE(C) </t>
    </r>
    <r>
      <rPr>
        <sz val="11"/>
        <color theme="1"/>
        <rFont val="Symbol"/>
        <family val="1"/>
        <charset val="2"/>
      </rPr>
      <t>£</t>
    </r>
    <r>
      <rPr>
        <sz val="12.65"/>
        <color theme="1"/>
        <rFont val="Times New Roman"/>
        <family val="1"/>
      </rPr>
      <t xml:space="preserve"> Pr*fy</t>
    </r>
    <phoneticPr fontId="2" type="noConversion"/>
  </si>
  <si>
    <t>Column Buckling (DNV RP-C202, 2013, 1 )</t>
    <phoneticPr fontId="2" type="noConversion"/>
  </si>
  <si>
    <t>psi</t>
    <phoneticPr fontId="2" type="noConversion"/>
  </si>
  <si>
    <t>xi</t>
    <phoneticPr fontId="2" type="noConversion"/>
  </si>
  <si>
    <t>rho</t>
    <phoneticPr fontId="2" type="noConversion"/>
  </si>
  <si>
    <t>Parameter</t>
    <phoneticPr fontId="2" type="noConversion"/>
  </si>
  <si>
    <t>for Axial</t>
    <phoneticPr fontId="2" type="noConversion"/>
  </si>
  <si>
    <t>for Bending</t>
    <phoneticPr fontId="2" type="noConversion"/>
  </si>
  <si>
    <t>Curvature Parameter</t>
    <phoneticPr fontId="2" type="noConversion"/>
  </si>
  <si>
    <t>Zl =</t>
    <phoneticPr fontId="2" type="noConversion"/>
  </si>
  <si>
    <t>l =</t>
    <phoneticPr fontId="2" type="noConversion"/>
  </si>
  <si>
    <t>mm</t>
    <phoneticPr fontId="2" type="noConversion"/>
  </si>
  <si>
    <t>C</t>
    <phoneticPr fontId="2" type="noConversion"/>
  </si>
  <si>
    <t>Posson Ratio</t>
    <phoneticPr fontId="2" type="noConversion"/>
  </si>
  <si>
    <t>nu =</t>
    <phoneticPr fontId="2" type="noConversion"/>
  </si>
  <si>
    <t>r =</t>
    <phoneticPr fontId="2" type="noConversion"/>
  </si>
  <si>
    <t>Shell radius (midtplane)</t>
    <phoneticPr fontId="2" type="noConversion"/>
  </si>
  <si>
    <t>MPa</t>
    <phoneticPr fontId="2" type="noConversion"/>
  </si>
  <si>
    <t>Elastic Buckling Stress</t>
    <phoneticPr fontId="2" type="noConversion"/>
  </si>
  <si>
    <t>fEa =</t>
    <phoneticPr fontId="2" type="noConversion"/>
  </si>
  <si>
    <t>fEh =</t>
    <phoneticPr fontId="2" type="noConversion"/>
  </si>
  <si>
    <r>
      <t>l/r &gt; 2.25</t>
    </r>
    <r>
      <rPr>
        <sz val="11"/>
        <color theme="1"/>
        <rFont val="Symbol"/>
        <family val="1"/>
        <charset val="2"/>
      </rPr>
      <t>Ö</t>
    </r>
    <r>
      <rPr>
        <sz val="9.35"/>
        <color theme="1"/>
        <rFont val="Times New Roman"/>
        <family val="1"/>
      </rPr>
      <t>(r/t)</t>
    </r>
    <phoneticPr fontId="2" type="noConversion"/>
  </si>
  <si>
    <t>a =</t>
    <phoneticPr fontId="2" type="noConversion"/>
  </si>
  <si>
    <t>b =</t>
    <phoneticPr fontId="2" type="noConversion"/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</si>
  <si>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Times New Roman"/>
        <family val="1"/>
      </rPr>
      <t>h,Sd =</t>
    </r>
    <phoneticPr fontId="2" type="noConversion"/>
  </si>
  <si>
    <t>c =</t>
    <phoneticPr fontId="2" type="noConversion"/>
  </si>
  <si>
    <t>Column Buckling (ABS MODU)</t>
    <phoneticPr fontId="2" type="noConversion"/>
  </si>
  <si>
    <t>Kl/r =</t>
    <phoneticPr fontId="2" type="noConversion"/>
  </si>
  <si>
    <t>F.S. =</t>
    <phoneticPr fontId="2" type="noConversion"/>
  </si>
  <si>
    <t>F =</t>
    <phoneticPr fontId="2" type="noConversion"/>
  </si>
  <si>
    <t>fa =</t>
    <phoneticPr fontId="2" type="noConversion"/>
  </si>
  <si>
    <t>Vertical Load</t>
    <phoneticPr fontId="2" type="noConversion"/>
  </si>
  <si>
    <t>VF =</t>
    <phoneticPr fontId="2" type="noConversion"/>
  </si>
  <si>
    <t>fb =</t>
    <phoneticPr fontId="2" type="noConversion"/>
  </si>
  <si>
    <t>Horizontal Load</t>
    <phoneticPr fontId="2" type="noConversion"/>
  </si>
  <si>
    <t>HF =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</si>
</sst>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-* #,##0_-;\-* #,##0_-;_-* &quot;-&quot;_-;_-@_-"/>
    <numFmt numFmtId="43" formatCode="_-* #,##0.00_-;\-* #,##0.00_-;_-* &quot;-&quot;??_-;_-@_-"/>
    <numFmt numFmtId="176" formatCode="0.0"/>
    <numFmt numFmtId="177" formatCode="0.000"/>
    <numFmt numFmtId="178" formatCode="_-* #,##0_-;\-* #,##0_-;_-* &quot;-&quot;??_-;_-@_-"/>
    <numFmt numFmtId="179" formatCode="_-* #,##0.0_-;\-* #,##0.0_-;_-* &quot;-&quot;_-;_-@_-"/>
    <numFmt numFmtId="180" formatCode="_-* #,##0.00_-;\-* #,##0.00_-;_-* &quot;-&quot;_-;_-@_-"/>
    <numFmt numFmtId="181" formatCode="_-* #,##0.0_-;\-* #,##0.0_-;_-* &quot;-&quot;??_-;_-@_-"/>
    <numFmt numFmtId="182" formatCode="_-* #,##0.0_-;\-* #,##0.0_-;_-* &quot;-&quot;?_-;_-@_-"/>
    <numFmt numFmtId="194" formatCode="_-* #,##0.000_-;\-* #,##0.000_-;_-* &quot;-&quot;_-;_-@_-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1"/>
      <color rgb="FF0070C0"/>
      <name val="맑은 고딕"/>
      <family val="3"/>
      <charset val="129"/>
      <scheme val="minor"/>
    </font>
    <font>
      <sz val="11"/>
      <color theme="1"/>
      <name val="Symbol"/>
      <family val="1"/>
      <charset val="2"/>
    </font>
    <font>
      <sz val="11"/>
      <name val="맑은 고딕"/>
      <family val="3"/>
      <charset val="129"/>
      <scheme val="minor"/>
    </font>
    <font>
      <sz val="11"/>
      <name val="Times New Roman"/>
      <family val="1"/>
    </font>
    <font>
      <sz val="11"/>
      <color theme="1"/>
      <name val="맑은 고딕"/>
      <family val="3"/>
      <charset val="129"/>
      <scheme val="major"/>
    </font>
    <font>
      <sz val="11"/>
      <color rgb="FF000000"/>
      <name val="TimesNew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rgb="FF000000"/>
      <name val="Times New Roman"/>
      <family val="1"/>
    </font>
    <font>
      <sz val="12.65"/>
      <color theme="1"/>
      <name val="Times New Roman"/>
      <family val="1"/>
    </font>
    <font>
      <sz val="11"/>
      <color theme="1"/>
      <name val="times ne"/>
      <family val="1"/>
    </font>
    <font>
      <b/>
      <i/>
      <sz val="12"/>
      <color theme="1"/>
      <name val="Times New Roman"/>
      <family val="1"/>
    </font>
    <font>
      <sz val="9.35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176" fontId="0" fillId="0" borderId="0" xfId="0" applyNumberFormat="1">
      <alignment vertical="center"/>
    </xf>
    <xf numFmtId="43" fontId="0" fillId="0" borderId="0" xfId="0" applyNumberFormat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2" fontId="0" fillId="0" borderId="0" xfId="0" applyNumberFormat="1">
      <alignment vertical="center"/>
    </xf>
    <xf numFmtId="2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9" fontId="0" fillId="0" borderId="0" xfId="1" applyNumberFormat="1" applyFont="1">
      <alignment vertical="center"/>
    </xf>
    <xf numFmtId="179" fontId="0" fillId="0" borderId="0" xfId="1" applyNumberFormat="1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177" fontId="0" fillId="0" borderId="0" xfId="0" applyNumberFormat="1" applyAlignment="1">
      <alignment vertical="center"/>
    </xf>
    <xf numFmtId="0" fontId="9" fillId="0" borderId="0" xfId="0" applyFont="1" applyAlignment="1">
      <alignment vertical="center"/>
    </xf>
    <xf numFmtId="179" fontId="0" fillId="0" borderId="0" xfId="1" applyNumberFormat="1" applyFont="1" applyAlignment="1">
      <alignment vertical="center"/>
    </xf>
    <xf numFmtId="181" fontId="0" fillId="0" borderId="0" xfId="0" applyNumberFormat="1" applyAlignme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41" fontId="11" fillId="0" borderId="0" xfId="1" applyFont="1" applyAlignment="1">
      <alignment horizontal="center" vertical="center"/>
    </xf>
    <xf numFmtId="176" fontId="11" fillId="0" borderId="0" xfId="0" applyNumberFormat="1" applyFont="1">
      <alignment vertical="center"/>
    </xf>
    <xf numFmtId="179" fontId="11" fillId="0" borderId="0" xfId="1" applyNumberFormat="1" applyFont="1" applyAlignment="1">
      <alignment horizontal="center" vertical="center"/>
    </xf>
    <xf numFmtId="179" fontId="11" fillId="0" borderId="0" xfId="1" applyNumberFormat="1" applyFont="1">
      <alignment vertical="center"/>
    </xf>
    <xf numFmtId="41" fontId="11" fillId="0" borderId="0" xfId="1" applyFont="1">
      <alignment vertical="center"/>
    </xf>
    <xf numFmtId="0" fontId="8" fillId="0" borderId="0" xfId="0" applyFont="1">
      <alignment vertical="center"/>
    </xf>
    <xf numFmtId="2" fontId="11" fillId="0" borderId="0" xfId="0" applyNumberFormat="1" applyFont="1">
      <alignment vertical="center"/>
    </xf>
    <xf numFmtId="177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79" fontId="11" fillId="0" borderId="0" xfId="1" applyNumberFormat="1" applyFont="1" applyAlignment="1">
      <alignment vertical="center"/>
    </xf>
    <xf numFmtId="181" fontId="11" fillId="0" borderId="0" xfId="0" applyNumberFormat="1" applyFont="1" applyAlignment="1">
      <alignment vertical="center"/>
    </xf>
    <xf numFmtId="43" fontId="11" fillId="0" borderId="0" xfId="0" applyNumberFormat="1" applyFont="1">
      <alignment vertical="center"/>
    </xf>
    <xf numFmtId="0" fontId="14" fillId="0" borderId="0" xfId="0" applyFont="1">
      <alignment vertical="center"/>
    </xf>
    <xf numFmtId="178" fontId="11" fillId="0" borderId="0" xfId="0" applyNumberFormat="1" applyFont="1">
      <alignment vertical="center"/>
    </xf>
    <xf numFmtId="1" fontId="11" fillId="0" borderId="0" xfId="0" applyNumberFormat="1" applyFont="1">
      <alignment vertical="center"/>
    </xf>
    <xf numFmtId="182" fontId="11" fillId="0" borderId="0" xfId="0" applyNumberFormat="1" applyFont="1">
      <alignment vertical="center"/>
    </xf>
    <xf numFmtId="182" fontId="16" fillId="0" borderId="0" xfId="0" applyNumberFormat="1" applyFont="1">
      <alignment vertical="center"/>
    </xf>
    <xf numFmtId="180" fontId="11" fillId="0" borderId="0" xfId="1" applyNumberFormat="1" applyFont="1">
      <alignment vertical="center"/>
    </xf>
    <xf numFmtId="0" fontId="17" fillId="0" borderId="0" xfId="0" applyFont="1">
      <alignment vertical="center"/>
    </xf>
    <xf numFmtId="43" fontId="11" fillId="0" borderId="0" xfId="1" applyNumberFormat="1" applyFont="1" applyAlignment="1">
      <alignment horizontal="center" vertical="center"/>
    </xf>
    <xf numFmtId="177" fontId="11" fillId="0" borderId="0" xfId="0" applyNumberFormat="1" applyFont="1">
      <alignment vertical="center"/>
    </xf>
    <xf numFmtId="178" fontId="11" fillId="0" borderId="0" xfId="1" applyNumberFormat="1" applyFont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176" fontId="11" fillId="0" borderId="0" xfId="0" applyNumberFormat="1" applyFont="1" applyAlignment="1">
      <alignment vertical="center"/>
    </xf>
    <xf numFmtId="43" fontId="11" fillId="0" borderId="0" xfId="0" applyNumberFormat="1" applyFont="1" applyAlignment="1">
      <alignment horizontal="center" vertical="center"/>
    </xf>
    <xf numFmtId="178" fontId="11" fillId="0" borderId="0" xfId="0" applyNumberFormat="1" applyFont="1" applyAlignment="1">
      <alignment horizontal="center" vertical="center"/>
    </xf>
    <xf numFmtId="194" fontId="11" fillId="0" borderId="0" xfId="1" applyNumberFormat="1" applyFont="1" applyAlignment="1">
      <alignment horizontal="center" vertical="center"/>
    </xf>
    <xf numFmtId="194" fontId="11" fillId="0" borderId="0" xfId="1" applyNumberFormat="1" applyFont="1" applyAlignment="1">
      <alignment vertical="center"/>
    </xf>
    <xf numFmtId="41" fontId="11" fillId="0" borderId="0" xfId="0" applyNumberFormat="1" applyFo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605279</xdr:colOff>
      <xdr:row>22</xdr:row>
      <xdr:rowOff>191083</xdr:rowOff>
    </xdr:to>
    <xdr:grpSp>
      <xdr:nvGrpSpPr>
        <xdr:cNvPr id="2" name="그룹 1"/>
        <xdr:cNvGrpSpPr/>
      </xdr:nvGrpSpPr>
      <xdr:grpSpPr>
        <a:xfrm>
          <a:off x="0" y="0"/>
          <a:ext cx="6219426" cy="4875142"/>
          <a:chOff x="0" y="0"/>
          <a:chExt cx="4784910" cy="4875142"/>
        </a:xfrm>
      </xdr:grpSpPr>
      <xdr:pic>
        <xdr:nvPicPr>
          <xdr:cNvPr id="3" name="그림 2" descr="http://upload.wikimedia.org/wikipedia/commons/a/a2/ColumnEffectiveLength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4706632" cy="48751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TextBox 3"/>
          <xdr:cNvSpPr txBox="1"/>
        </xdr:nvSpPr>
        <xdr:spPr>
          <a:xfrm>
            <a:off x="1334042" y="67236"/>
            <a:ext cx="341779" cy="30255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400" b="1"/>
              <a:t>A</a:t>
            </a:r>
            <a:endParaRPr lang="ko-KR" altLang="en-US" sz="1400" b="1"/>
          </a:p>
        </xdr:txBody>
      </xdr:sp>
      <xdr:sp macro="" textlink="">
        <xdr:nvSpPr>
          <xdr:cNvPr id="5" name="TextBox 4"/>
          <xdr:cNvSpPr txBox="1"/>
        </xdr:nvSpPr>
        <xdr:spPr>
          <a:xfrm>
            <a:off x="1880889" y="62754"/>
            <a:ext cx="341779" cy="30255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400" b="1"/>
              <a:t>B</a:t>
            </a:r>
            <a:endParaRPr lang="ko-KR" altLang="en-US" sz="1400" b="1"/>
          </a:p>
        </xdr:txBody>
      </xdr:sp>
      <xdr:sp macro="" textlink="">
        <xdr:nvSpPr>
          <xdr:cNvPr id="6" name="TextBox 5"/>
          <xdr:cNvSpPr txBox="1"/>
        </xdr:nvSpPr>
        <xdr:spPr>
          <a:xfrm>
            <a:off x="2493887" y="58272"/>
            <a:ext cx="341779" cy="30255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400" b="1"/>
              <a:t>C</a:t>
            </a:r>
            <a:endParaRPr lang="ko-KR" altLang="en-US" sz="1400" b="1"/>
          </a:p>
        </xdr:txBody>
      </xdr:sp>
      <xdr:sp macro="" textlink="">
        <xdr:nvSpPr>
          <xdr:cNvPr id="7" name="TextBox 6"/>
          <xdr:cNvSpPr txBox="1"/>
        </xdr:nvSpPr>
        <xdr:spPr>
          <a:xfrm>
            <a:off x="3062785" y="53790"/>
            <a:ext cx="321391" cy="30255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400" b="1"/>
              <a:t>D</a:t>
            </a:r>
            <a:endParaRPr lang="ko-KR" altLang="en-US" sz="1400" b="1"/>
          </a:p>
        </xdr:txBody>
      </xdr:sp>
      <xdr:sp macro="" textlink="">
        <xdr:nvSpPr>
          <xdr:cNvPr id="8" name="TextBox 7"/>
          <xdr:cNvSpPr txBox="1"/>
        </xdr:nvSpPr>
        <xdr:spPr>
          <a:xfrm>
            <a:off x="3639090" y="60514"/>
            <a:ext cx="341779" cy="30255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400" b="1"/>
              <a:t>E</a:t>
            </a:r>
            <a:endParaRPr lang="ko-KR" altLang="en-US" sz="1400" b="1"/>
          </a:p>
        </xdr:txBody>
      </xdr:sp>
      <xdr:sp macro="" textlink="">
        <xdr:nvSpPr>
          <xdr:cNvPr id="9" name="TextBox 8"/>
          <xdr:cNvSpPr txBox="1"/>
        </xdr:nvSpPr>
        <xdr:spPr>
          <a:xfrm>
            <a:off x="4252629" y="44823"/>
            <a:ext cx="341779" cy="30255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400" b="1"/>
              <a:t>F</a:t>
            </a:r>
            <a:endParaRPr lang="ko-KR" altLang="en-US" sz="1400" b="1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6</xdr:col>
      <xdr:colOff>8282</xdr:colOff>
      <xdr:row>24</xdr:row>
      <xdr:rowOff>140805</xdr:rowOff>
    </xdr:to>
    <xdr:grpSp>
      <xdr:nvGrpSpPr>
        <xdr:cNvPr id="2" name="그룹 1"/>
        <xdr:cNvGrpSpPr/>
      </xdr:nvGrpSpPr>
      <xdr:grpSpPr>
        <a:xfrm>
          <a:off x="0" y="1"/>
          <a:ext cx="5665304" cy="4712804"/>
          <a:chOff x="0" y="0"/>
          <a:chExt cx="4784910" cy="4875142"/>
        </a:xfrm>
      </xdr:grpSpPr>
      <xdr:pic>
        <xdr:nvPicPr>
          <xdr:cNvPr id="3" name="그림 2" descr="http://upload.wikimedia.org/wikipedia/commons/a/a2/ColumnEffectiveLength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4706632" cy="48751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TextBox 3"/>
          <xdr:cNvSpPr txBox="1"/>
        </xdr:nvSpPr>
        <xdr:spPr>
          <a:xfrm>
            <a:off x="1334042" y="67236"/>
            <a:ext cx="341779" cy="30255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400" b="1"/>
              <a:t>A</a:t>
            </a:r>
            <a:endParaRPr lang="ko-KR" altLang="en-US" sz="1400" b="1"/>
          </a:p>
        </xdr:txBody>
      </xdr:sp>
      <xdr:sp macro="" textlink="">
        <xdr:nvSpPr>
          <xdr:cNvPr id="5" name="TextBox 4"/>
          <xdr:cNvSpPr txBox="1"/>
        </xdr:nvSpPr>
        <xdr:spPr>
          <a:xfrm>
            <a:off x="1880889" y="62754"/>
            <a:ext cx="341779" cy="30255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400" b="1"/>
              <a:t>B</a:t>
            </a:r>
            <a:endParaRPr lang="ko-KR" altLang="en-US" sz="1400" b="1"/>
          </a:p>
        </xdr:txBody>
      </xdr:sp>
      <xdr:sp macro="" textlink="">
        <xdr:nvSpPr>
          <xdr:cNvPr id="6" name="TextBox 5"/>
          <xdr:cNvSpPr txBox="1"/>
        </xdr:nvSpPr>
        <xdr:spPr>
          <a:xfrm>
            <a:off x="2493887" y="58272"/>
            <a:ext cx="341779" cy="30255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400" b="1"/>
              <a:t>C</a:t>
            </a:r>
            <a:endParaRPr lang="ko-KR" altLang="en-US" sz="1400" b="1"/>
          </a:p>
        </xdr:txBody>
      </xdr:sp>
      <xdr:sp macro="" textlink="">
        <xdr:nvSpPr>
          <xdr:cNvPr id="7" name="TextBox 6"/>
          <xdr:cNvSpPr txBox="1"/>
        </xdr:nvSpPr>
        <xdr:spPr>
          <a:xfrm>
            <a:off x="3062785" y="53790"/>
            <a:ext cx="321391" cy="30255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400" b="1"/>
              <a:t>D</a:t>
            </a:r>
            <a:endParaRPr lang="ko-KR" altLang="en-US" sz="1400" b="1"/>
          </a:p>
        </xdr:txBody>
      </xdr:sp>
      <xdr:sp macro="" textlink="">
        <xdr:nvSpPr>
          <xdr:cNvPr id="8" name="TextBox 7"/>
          <xdr:cNvSpPr txBox="1"/>
        </xdr:nvSpPr>
        <xdr:spPr>
          <a:xfrm>
            <a:off x="3639090" y="60514"/>
            <a:ext cx="341779" cy="30255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400" b="1"/>
              <a:t>E</a:t>
            </a:r>
            <a:endParaRPr lang="ko-KR" altLang="en-US" sz="1400" b="1"/>
          </a:p>
        </xdr:txBody>
      </xdr:sp>
      <xdr:sp macro="" textlink="">
        <xdr:nvSpPr>
          <xdr:cNvPr id="9" name="TextBox 8"/>
          <xdr:cNvSpPr txBox="1"/>
        </xdr:nvSpPr>
        <xdr:spPr>
          <a:xfrm>
            <a:off x="4252629" y="44823"/>
            <a:ext cx="341779" cy="30255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400" b="1"/>
              <a:t>F</a:t>
            </a:r>
            <a:endParaRPr lang="ko-KR" altLang="en-US" sz="14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8"/>
  <sheetViews>
    <sheetView zoomScale="85" zoomScaleNormal="85" workbookViewId="0">
      <selection activeCell="G14" sqref="G14"/>
    </sheetView>
  </sheetViews>
  <sheetFormatPr defaultColWidth="12.125" defaultRowHeight="15"/>
  <cols>
    <col min="1" max="3" width="12.125" style="24"/>
    <col min="4" max="4" width="14.375" style="24" bestFit="1" customWidth="1"/>
    <col min="5" max="16384" width="12.125" style="24"/>
  </cols>
  <sheetData>
    <row r="1" spans="1:5" ht="15.75">
      <c r="A1" s="48" t="s">
        <v>111</v>
      </c>
    </row>
    <row r="3" spans="1:5">
      <c r="A3" s="28" t="s">
        <v>34</v>
      </c>
      <c r="D3" s="29" t="s">
        <v>41</v>
      </c>
    </row>
    <row r="4" spans="1:5">
      <c r="A4" s="24" t="s">
        <v>35</v>
      </c>
      <c r="C4" s="25" t="s">
        <v>44</v>
      </c>
      <c r="D4" s="30">
        <v>508</v>
      </c>
      <c r="E4" s="25" t="s">
        <v>36</v>
      </c>
    </row>
    <row r="5" spans="1:5">
      <c r="A5" s="24" t="s">
        <v>37</v>
      </c>
      <c r="C5" s="25" t="s">
        <v>45</v>
      </c>
      <c r="D5" s="30">
        <v>40</v>
      </c>
      <c r="E5" s="25" t="s">
        <v>36</v>
      </c>
    </row>
    <row r="6" spans="1:5">
      <c r="A6" s="24" t="s">
        <v>38</v>
      </c>
      <c r="C6" s="25" t="s">
        <v>46</v>
      </c>
      <c r="D6" s="30">
        <v>10800</v>
      </c>
      <c r="E6" s="25" t="s">
        <v>36</v>
      </c>
    </row>
    <row r="7" spans="1:5">
      <c r="A7" s="24" t="s">
        <v>39</v>
      </c>
      <c r="C7" s="25" t="s">
        <v>47</v>
      </c>
      <c r="D7" s="51">
        <f>PI()*(D4^2-(D4-2*D5)^2)/4</f>
        <v>58810.614475200928</v>
      </c>
      <c r="E7" s="25" t="s">
        <v>43</v>
      </c>
    </row>
    <row r="8" spans="1:5">
      <c r="A8" s="24" t="s">
        <v>40</v>
      </c>
      <c r="C8" s="25" t="s">
        <v>48</v>
      </c>
      <c r="D8" s="30">
        <f>(PI()*(D4^4-(D4-2*D5)^4)/64)/10000</f>
        <v>162187.91259970912</v>
      </c>
      <c r="E8" s="25" t="s">
        <v>42</v>
      </c>
    </row>
    <row r="9" spans="1:5">
      <c r="A9" s="24" t="s">
        <v>50</v>
      </c>
      <c r="C9" s="25" t="s">
        <v>51</v>
      </c>
      <c r="D9" s="31">
        <f>SQRT(D8*10^4/D7)</f>
        <v>166.06625183943908</v>
      </c>
      <c r="E9" s="25" t="s">
        <v>36</v>
      </c>
    </row>
    <row r="10" spans="1:5">
      <c r="A10" s="24" t="s">
        <v>59</v>
      </c>
      <c r="C10" s="25" t="s">
        <v>49</v>
      </c>
      <c r="D10" s="32">
        <v>2.1</v>
      </c>
      <c r="E10" s="25"/>
    </row>
    <row r="12" spans="1:5">
      <c r="A12" s="28" t="s">
        <v>52</v>
      </c>
      <c r="D12" s="29" t="s">
        <v>56</v>
      </c>
    </row>
    <row r="13" spans="1:5">
      <c r="A13" s="24" t="s">
        <v>57</v>
      </c>
      <c r="C13" s="25" t="s">
        <v>53</v>
      </c>
      <c r="D13" s="30">
        <v>206000</v>
      </c>
      <c r="E13" s="25" t="s">
        <v>54</v>
      </c>
    </row>
    <row r="14" spans="1:5">
      <c r="A14" s="24" t="s">
        <v>123</v>
      </c>
      <c r="C14" s="25" t="s">
        <v>124</v>
      </c>
      <c r="D14" s="32">
        <v>0.3</v>
      </c>
      <c r="E14" s="25"/>
    </row>
    <row r="15" spans="1:5">
      <c r="A15" s="24" t="s">
        <v>58</v>
      </c>
      <c r="C15" s="25" t="s">
        <v>55</v>
      </c>
      <c r="D15" s="33">
        <v>315</v>
      </c>
      <c r="E15" s="25" t="s">
        <v>54</v>
      </c>
    </row>
    <row r="17" spans="1:6">
      <c r="C17" s="25" t="s">
        <v>120</v>
      </c>
      <c r="D17" s="30">
        <v>10800</v>
      </c>
      <c r="E17" s="25" t="s">
        <v>121</v>
      </c>
    </row>
    <row r="18" spans="1:6">
      <c r="A18" s="35" t="s">
        <v>126</v>
      </c>
      <c r="C18" s="25" t="s">
        <v>125</v>
      </c>
      <c r="D18" s="30">
        <f>D4-D5</f>
        <v>468</v>
      </c>
      <c r="E18" s="25" t="s">
        <v>121</v>
      </c>
    </row>
    <row r="19" spans="1:6">
      <c r="A19" s="24" t="s">
        <v>118</v>
      </c>
      <c r="C19" s="25" t="s">
        <v>119</v>
      </c>
      <c r="D19" s="50">
        <f>D17^2*SQRT(1-D14^2)/(D18*D5)</f>
        <v>5943.7750242132761</v>
      </c>
    </row>
    <row r="20" spans="1:6">
      <c r="A20" s="24" t="s">
        <v>115</v>
      </c>
      <c r="C20" s="25" t="s">
        <v>112</v>
      </c>
      <c r="D20" s="25" t="s">
        <v>113</v>
      </c>
      <c r="E20" s="25" t="s">
        <v>114</v>
      </c>
      <c r="F20" s="25" t="s">
        <v>122</v>
      </c>
    </row>
    <row r="21" spans="1:6">
      <c r="A21" s="24" t="s">
        <v>116</v>
      </c>
      <c r="C21" s="25">
        <v>1</v>
      </c>
      <c r="D21" s="52">
        <f>0.702*D19</f>
        <v>4172.5300669977196</v>
      </c>
      <c r="E21" s="56">
        <f>0.5*(1+D18/(150*D5))^-0.5</f>
        <v>0.48157133033088717</v>
      </c>
      <c r="F21" s="30">
        <f>C21*SQRT(1+(E21*D21/C21)^2)</f>
        <v>2009.3711040438079</v>
      </c>
    </row>
    <row r="22" spans="1:6">
      <c r="A22" s="24" t="s">
        <v>117</v>
      </c>
      <c r="C22" s="25">
        <v>1</v>
      </c>
      <c r="D22" s="52">
        <f>0.702*D19</f>
        <v>4172.5300669977196</v>
      </c>
      <c r="E22" s="57">
        <f>0.5*(1+D18/(300*D5))^-0.5</f>
        <v>0.49052622447822936</v>
      </c>
      <c r="F22" s="30">
        <f>C22*SQRT(1+(E22*D22/C22)^2)</f>
        <v>2046.7356645777379</v>
      </c>
    </row>
    <row r="23" spans="1:6">
      <c r="A23" s="24" t="s">
        <v>128</v>
      </c>
      <c r="C23" s="25" t="s">
        <v>129</v>
      </c>
      <c r="D23" s="55">
        <f>F21*PI()^2*D13*(D5/D17)^2/(12*(1-D14^2))</f>
        <v>5131.8854240213977</v>
      </c>
      <c r="E23" s="25" t="s">
        <v>127</v>
      </c>
    </row>
    <row r="24" spans="1:6">
      <c r="C24" s="25" t="s">
        <v>130</v>
      </c>
      <c r="D24" s="44">
        <f>0.25*D13*(D5/D18)^2</f>
        <v>376.21447877858134</v>
      </c>
      <c r="E24" s="25" t="s">
        <v>127</v>
      </c>
      <c r="F24" s="24" t="s">
        <v>131</v>
      </c>
    </row>
    <row r="25" spans="1:6">
      <c r="C25" s="25" t="s">
        <v>134</v>
      </c>
      <c r="D25" s="24">
        <v>0</v>
      </c>
      <c r="E25" s="25"/>
    </row>
    <row r="26" spans="1:6">
      <c r="C26" s="25" t="s">
        <v>132</v>
      </c>
      <c r="D26" s="36">
        <f>1+D15^2/D23^2</f>
        <v>1.0037676209602862</v>
      </c>
    </row>
    <row r="27" spans="1:6">
      <c r="C27" s="25" t="s">
        <v>133</v>
      </c>
      <c r="D27" s="24">
        <f>(2*D15^2/(D23*D24)-1)*D25</f>
        <v>0</v>
      </c>
    </row>
    <row r="28" spans="1:6">
      <c r="C28" s="25" t="s">
        <v>135</v>
      </c>
      <c r="D28" s="24">
        <f>-D15^2</f>
        <v>99225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H78"/>
  <sheetViews>
    <sheetView zoomScale="85" zoomScaleNormal="85" workbookViewId="0">
      <selection activeCell="E51" sqref="E51"/>
    </sheetView>
  </sheetViews>
  <sheetFormatPr defaultColWidth="12.125" defaultRowHeight="16.5"/>
  <cols>
    <col min="6" max="6" width="13.375" bestFit="1" customWidth="1"/>
  </cols>
  <sheetData>
    <row r="4" spans="1:3">
      <c r="A4" s="1" t="s">
        <v>30</v>
      </c>
      <c r="B4" s="1" t="s">
        <v>31</v>
      </c>
      <c r="C4" s="1" t="s">
        <v>32</v>
      </c>
    </row>
    <row r="5" spans="1:3">
      <c r="A5" s="1" t="s">
        <v>23</v>
      </c>
      <c r="B5" s="11">
        <v>0.5</v>
      </c>
      <c r="C5" s="11">
        <v>0.65</v>
      </c>
    </row>
    <row r="6" spans="1:3">
      <c r="A6" s="1" t="s">
        <v>24</v>
      </c>
      <c r="B6" s="11">
        <v>0.7</v>
      </c>
      <c r="C6" s="11">
        <v>0.8</v>
      </c>
    </row>
    <row r="7" spans="1:3">
      <c r="A7" s="1" t="s">
        <v>25</v>
      </c>
      <c r="B7" s="11">
        <v>1</v>
      </c>
      <c r="C7" s="11">
        <v>1.2</v>
      </c>
    </row>
    <row r="8" spans="1:3">
      <c r="A8" s="1" t="s">
        <v>26</v>
      </c>
      <c r="B8" s="11">
        <v>1</v>
      </c>
      <c r="C8" s="11">
        <v>1</v>
      </c>
    </row>
    <row r="9" spans="1:3">
      <c r="A9" s="1" t="s">
        <v>28</v>
      </c>
      <c r="B9" s="11">
        <v>2</v>
      </c>
      <c r="C9" s="11">
        <v>2.1</v>
      </c>
    </row>
    <row r="10" spans="1:3">
      <c r="A10" s="1" t="s">
        <v>29</v>
      </c>
      <c r="B10" s="11">
        <v>2</v>
      </c>
      <c r="C10" s="11">
        <v>2</v>
      </c>
    </row>
    <row r="11" spans="1:3">
      <c r="B11" t="s">
        <v>33</v>
      </c>
    </row>
    <row r="26" spans="1:6" ht="17.25">
      <c r="A26" s="9" t="s">
        <v>22</v>
      </c>
    </row>
    <row r="27" spans="1:6">
      <c r="A27" t="s">
        <v>0</v>
      </c>
      <c r="D27" s="1" t="s">
        <v>27</v>
      </c>
    </row>
    <row r="29" spans="1:6">
      <c r="A29" s="8" t="s">
        <v>71</v>
      </c>
      <c r="E29" s="13" t="s">
        <v>41</v>
      </c>
    </row>
    <row r="30" spans="1:6">
      <c r="A30" t="s">
        <v>35</v>
      </c>
      <c r="D30" s="1" t="s">
        <v>44</v>
      </c>
      <c r="E30" s="12">
        <v>508</v>
      </c>
      <c r="F30" s="1" t="s">
        <v>36</v>
      </c>
    </row>
    <row r="31" spans="1:6">
      <c r="A31" t="s">
        <v>37</v>
      </c>
      <c r="D31" s="1" t="s">
        <v>45</v>
      </c>
      <c r="E31" s="12">
        <v>40</v>
      </c>
      <c r="F31" s="1" t="s">
        <v>36</v>
      </c>
    </row>
    <row r="32" spans="1:6">
      <c r="A32" t="s">
        <v>38</v>
      </c>
      <c r="D32" s="1" t="s">
        <v>46</v>
      </c>
      <c r="E32" s="12">
        <f>10870+495</f>
        <v>11365</v>
      </c>
      <c r="F32" s="1" t="s">
        <v>36</v>
      </c>
    </row>
    <row r="33" spans="1:6">
      <c r="A33" t="s">
        <v>39</v>
      </c>
      <c r="D33" s="1" t="s">
        <v>47</v>
      </c>
      <c r="E33" s="12">
        <f>PI()*(E30^2-(E30-2*E31)^2)/4</f>
        <v>58810.614475200928</v>
      </c>
      <c r="F33" s="1" t="s">
        <v>43</v>
      </c>
    </row>
    <row r="34" spans="1:6">
      <c r="A34" t="s">
        <v>40</v>
      </c>
      <c r="D34" s="1" t="s">
        <v>48</v>
      </c>
      <c r="E34" s="12">
        <f>(PI()*(E30^4-(E30-2*E31)^4)/64)/10^4</f>
        <v>162187.91259970912</v>
      </c>
      <c r="F34" s="1" t="s">
        <v>42</v>
      </c>
    </row>
    <row r="35" spans="1:6">
      <c r="A35" t="s">
        <v>50</v>
      </c>
      <c r="D35" s="1" t="s">
        <v>51</v>
      </c>
      <c r="E35" s="3">
        <f>SQRT(E34*10^4/E33)</f>
        <v>166.06625183943908</v>
      </c>
      <c r="F35" s="1" t="s">
        <v>36</v>
      </c>
    </row>
    <row r="36" spans="1:6">
      <c r="A36" t="s">
        <v>59</v>
      </c>
      <c r="D36" s="1" t="s">
        <v>49</v>
      </c>
      <c r="E36" s="15">
        <f>VLOOKUP(D27,A5:C10,3)</f>
        <v>2.1</v>
      </c>
      <c r="F36" s="1"/>
    </row>
    <row r="38" spans="1:6">
      <c r="A38" s="8" t="s">
        <v>52</v>
      </c>
      <c r="E38" s="13" t="s">
        <v>56</v>
      </c>
    </row>
    <row r="39" spans="1:6">
      <c r="A39" t="s">
        <v>57</v>
      </c>
      <c r="D39" s="1" t="s">
        <v>53</v>
      </c>
      <c r="E39" s="12">
        <v>206000</v>
      </c>
      <c r="F39" s="1" t="s">
        <v>54</v>
      </c>
    </row>
    <row r="40" spans="1:6">
      <c r="A40" t="s">
        <v>58</v>
      </c>
      <c r="D40" s="1" t="s">
        <v>55</v>
      </c>
      <c r="E40" s="14">
        <v>315</v>
      </c>
      <c r="F40" s="1" t="s">
        <v>54</v>
      </c>
    </row>
    <row r="42" spans="1:6">
      <c r="A42" s="8" t="s">
        <v>66</v>
      </c>
    </row>
    <row r="43" spans="1:6">
      <c r="A43" t="s">
        <v>67</v>
      </c>
      <c r="E43" s="2">
        <f>200*9810</f>
        <v>1962000</v>
      </c>
      <c r="F43" s="1" t="s">
        <v>68</v>
      </c>
    </row>
    <row r="44" spans="1:6">
      <c r="A44" t="s">
        <v>69</v>
      </c>
      <c r="E44" s="2">
        <f>E43*0.05</f>
        <v>98100</v>
      </c>
      <c r="F44" s="1" t="s">
        <v>68</v>
      </c>
    </row>
    <row r="47" spans="1:6">
      <c r="A47" s="18" t="s">
        <v>60</v>
      </c>
      <c r="D47" s="1" t="s">
        <v>62</v>
      </c>
      <c r="E47" s="10">
        <f>PI()^2*E39*E35^2/(E36*E32)^2</f>
        <v>98.435616005018645</v>
      </c>
      <c r="F47" s="1" t="s">
        <v>63</v>
      </c>
    </row>
    <row r="48" spans="1:6">
      <c r="A48" t="s">
        <v>64</v>
      </c>
      <c r="E48" s="19">
        <f>SQRT(E40/E47)</f>
        <v>1.7888715006845577</v>
      </c>
    </row>
    <row r="49" spans="1:6">
      <c r="A49" s="16"/>
    </row>
    <row r="50" spans="1:6">
      <c r="A50" s="20" t="s">
        <v>65</v>
      </c>
      <c r="D50" s="1" t="s">
        <v>74</v>
      </c>
      <c r="E50" s="21">
        <f>E43/E33</f>
        <v>33.361324609647291</v>
      </c>
      <c r="F50" s="1" t="s">
        <v>63</v>
      </c>
    </row>
    <row r="51" spans="1:6">
      <c r="A51" s="20" t="s">
        <v>70</v>
      </c>
      <c r="D51" s="1" t="s">
        <v>75</v>
      </c>
      <c r="E51" s="22">
        <f>(E44*E32)/(E34*10^4/(E30/2))</f>
        <v>174.6037953512128</v>
      </c>
      <c r="F51" s="1" t="s">
        <v>63</v>
      </c>
    </row>
    <row r="57" spans="1:6">
      <c r="D57" t="s">
        <v>1</v>
      </c>
      <c r="E57">
        <v>2</v>
      </c>
    </row>
    <row r="58" spans="1:6">
      <c r="D58" t="s">
        <v>2</v>
      </c>
      <c r="E58">
        <v>10800</v>
      </c>
      <c r="F58" t="s">
        <v>3</v>
      </c>
    </row>
    <row r="59" spans="1:6">
      <c r="D59" t="s">
        <v>4</v>
      </c>
      <c r="E59" s="2">
        <v>206000</v>
      </c>
      <c r="F59" t="s">
        <v>5</v>
      </c>
    </row>
    <row r="60" spans="1:6">
      <c r="D60" t="s">
        <v>6</v>
      </c>
      <c r="E60" s="3">
        <v>295</v>
      </c>
      <c r="F60" t="s">
        <v>5</v>
      </c>
    </row>
    <row r="61" spans="1:6">
      <c r="D61" t="s">
        <v>10</v>
      </c>
      <c r="E61">
        <v>508</v>
      </c>
      <c r="F61" t="s">
        <v>11</v>
      </c>
    </row>
    <row r="62" spans="1:6">
      <c r="D62" t="s">
        <v>9</v>
      </c>
      <c r="E62">
        <v>38</v>
      </c>
    </row>
    <row r="63" spans="1:6">
      <c r="D63" t="s">
        <v>7</v>
      </c>
      <c r="E63">
        <f>PI()*(E61^4-(E61-2*E62)^4)/64</f>
        <v>1559433123.3350091</v>
      </c>
      <c r="F63" t="s">
        <v>13</v>
      </c>
    </row>
    <row r="64" spans="1:6">
      <c r="D64" t="s">
        <v>8</v>
      </c>
      <c r="E64">
        <f>PI()*(E61^2-(E61-2*E62)^2)/4</f>
        <v>56108.844793113705</v>
      </c>
      <c r="F64" t="s">
        <v>14</v>
      </c>
    </row>
    <row r="65" spans="4:8">
      <c r="D65" t="s">
        <v>12</v>
      </c>
      <c r="E65">
        <f>SQRT(E63/E64)</f>
        <v>166.71232707871363</v>
      </c>
      <c r="F65" t="s">
        <v>11</v>
      </c>
      <c r="H65">
        <f>30</f>
        <v>30</v>
      </c>
    </row>
    <row r="66" spans="4:8">
      <c r="D66" t="s">
        <v>15</v>
      </c>
      <c r="E66" s="7">
        <f>2.5*E59/E60</f>
        <v>1745.7627118644068</v>
      </c>
      <c r="H66">
        <v>60</v>
      </c>
    </row>
    <row r="67" spans="4:8">
      <c r="E67" s="2">
        <f>(E57*E58/E65)^2</f>
        <v>16786.960745511464</v>
      </c>
    </row>
    <row r="70" spans="4:8">
      <c r="D70" t="s">
        <v>16</v>
      </c>
      <c r="E70" s="6">
        <f>PI()^2*E59*E63/(E57*E58)^2</f>
        <v>6795575.1276534135</v>
      </c>
      <c r="F70" t="s">
        <v>17</v>
      </c>
    </row>
    <row r="71" spans="4:8">
      <c r="E71" s="5">
        <f>E70/9810</f>
        <v>692.71917713082701</v>
      </c>
      <c r="F71" t="s">
        <v>18</v>
      </c>
    </row>
    <row r="72" spans="4:8">
      <c r="D72" t="s">
        <v>19</v>
      </c>
      <c r="E72">
        <f>PI()^2*E59/(E57*E58/E65)^2</f>
        <v>121.11415148022152</v>
      </c>
      <c r="F72" t="s">
        <v>5</v>
      </c>
    </row>
    <row r="73" spans="4:8">
      <c r="D73" t="s">
        <v>20</v>
      </c>
      <c r="E73">
        <f>E57*E58/E65</f>
        <v>129.56450418811266</v>
      </c>
    </row>
    <row r="74" spans="4:8">
      <c r="E74" s="4">
        <f>4.71*SQRT(E59/E60)</f>
        <v>124.46392983715593</v>
      </c>
    </row>
    <row r="75" spans="4:8">
      <c r="E75">
        <f>0.44*E60</f>
        <v>129.80000000000001</v>
      </c>
    </row>
    <row r="76" spans="4:8">
      <c r="D76" t="s">
        <v>21</v>
      </c>
      <c r="E76" s="3">
        <f>0.877*E72</f>
        <v>106.21711084815428</v>
      </c>
      <c r="F76">
        <f>E60*0.658^(E60/E72)</f>
        <v>106.43180592290332</v>
      </c>
    </row>
    <row r="77" spans="4:8">
      <c r="E77">
        <f>E76*E64</f>
        <v>5959719.3869520426</v>
      </c>
      <c r="F77">
        <f>F76*E64</f>
        <v>5971765.6795789823</v>
      </c>
    </row>
    <row r="78" spans="4:8">
      <c r="E78">
        <f>0.9*E77/9810</f>
        <v>546.76324650936169</v>
      </c>
      <c r="F78">
        <f>0.9*F77/9810</f>
        <v>547.86841097054889</v>
      </c>
    </row>
  </sheetData>
  <phoneticPr fontId="2" type="noConversion"/>
  <dataValidations disablePrompts="1" count="1">
    <dataValidation type="list" allowBlank="1" showInputMessage="1" showErrorMessage="1" sqref="D27">
      <formula1>$A$5:$A$10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F65"/>
  <sheetViews>
    <sheetView zoomScale="115" zoomScaleNormal="115" workbookViewId="0">
      <selection activeCell="B54" sqref="B54"/>
    </sheetView>
  </sheetViews>
  <sheetFormatPr defaultColWidth="12.125" defaultRowHeight="15"/>
  <cols>
    <col min="1" max="5" width="12.125" style="24"/>
    <col min="6" max="6" width="13.375" style="24" customWidth="1"/>
    <col min="7" max="16384" width="12.125" style="24"/>
  </cols>
  <sheetData>
    <row r="4" spans="1:3">
      <c r="A4" s="25" t="s">
        <v>30</v>
      </c>
      <c r="B4" s="25" t="s">
        <v>31</v>
      </c>
      <c r="C4" s="25" t="s">
        <v>32</v>
      </c>
    </row>
    <row r="5" spans="1:3">
      <c r="A5" s="25" t="s">
        <v>23</v>
      </c>
      <c r="B5" s="26">
        <v>0.5</v>
      </c>
      <c r="C5" s="26">
        <v>0.65</v>
      </c>
    </row>
    <row r="6" spans="1:3">
      <c r="A6" s="25" t="s">
        <v>24</v>
      </c>
      <c r="B6" s="26">
        <v>0.7</v>
      </c>
      <c r="C6" s="26">
        <v>0.8</v>
      </c>
    </row>
    <row r="7" spans="1:3">
      <c r="A7" s="25" t="s">
        <v>25</v>
      </c>
      <c r="B7" s="26">
        <v>1</v>
      </c>
      <c r="C7" s="26">
        <v>1.2</v>
      </c>
    </row>
    <row r="8" spans="1:3">
      <c r="A8" s="25" t="s">
        <v>26</v>
      </c>
      <c r="B8" s="26">
        <v>1</v>
      </c>
      <c r="C8" s="26">
        <v>1</v>
      </c>
    </row>
    <row r="9" spans="1:3">
      <c r="A9" s="25" t="s">
        <v>28</v>
      </c>
      <c r="B9" s="26">
        <v>2</v>
      </c>
      <c r="C9" s="26">
        <v>2.1</v>
      </c>
    </row>
    <row r="10" spans="1:3">
      <c r="A10" s="25" t="s">
        <v>29</v>
      </c>
      <c r="B10" s="26">
        <v>2</v>
      </c>
      <c r="C10" s="26">
        <v>2</v>
      </c>
    </row>
    <row r="11" spans="1:3">
      <c r="B11" s="24" t="s">
        <v>33</v>
      </c>
    </row>
    <row r="26" spans="1:6" ht="15.75">
      <c r="A26" s="27" t="s">
        <v>22</v>
      </c>
    </row>
    <row r="27" spans="1:6">
      <c r="A27" s="24" t="s">
        <v>0</v>
      </c>
      <c r="D27" s="25" t="s">
        <v>27</v>
      </c>
    </row>
    <row r="28" spans="1:6" ht="7.5" customHeight="1"/>
    <row r="29" spans="1:6">
      <c r="A29" s="28" t="s">
        <v>71</v>
      </c>
      <c r="E29" s="29" t="s">
        <v>41</v>
      </c>
    </row>
    <row r="30" spans="1:6">
      <c r="A30" s="24" t="s">
        <v>35</v>
      </c>
      <c r="D30" s="25" t="s">
        <v>44</v>
      </c>
      <c r="E30" s="30">
        <v>508</v>
      </c>
      <c r="F30" s="25" t="s">
        <v>36</v>
      </c>
    </row>
    <row r="31" spans="1:6">
      <c r="A31" s="24" t="s">
        <v>37</v>
      </c>
      <c r="D31" s="25" t="s">
        <v>45</v>
      </c>
      <c r="E31" s="30">
        <v>40</v>
      </c>
      <c r="F31" s="25" t="s">
        <v>36</v>
      </c>
    </row>
    <row r="32" spans="1:6">
      <c r="A32" s="24" t="s">
        <v>38</v>
      </c>
      <c r="D32" s="25" t="s">
        <v>46</v>
      </c>
      <c r="E32" s="30">
        <f>10870+495</f>
        <v>11365</v>
      </c>
      <c r="F32" s="25" t="s">
        <v>36</v>
      </c>
    </row>
    <row r="33" spans="1:6">
      <c r="A33" s="24" t="s">
        <v>39</v>
      </c>
      <c r="D33" s="25" t="s">
        <v>47</v>
      </c>
      <c r="E33" s="30">
        <f>PI()*(E30^2-(E30-2*E31)^2)/4</f>
        <v>58810.614475200928</v>
      </c>
      <c r="F33" s="25" t="s">
        <v>43</v>
      </c>
    </row>
    <row r="34" spans="1:6">
      <c r="A34" s="24" t="s">
        <v>40</v>
      </c>
      <c r="D34" s="25" t="s">
        <v>48</v>
      </c>
      <c r="E34" s="30">
        <f>(PI()*(E30^4-(E30-2*E31)^4)/64)/10^4</f>
        <v>162187.91259970912</v>
      </c>
      <c r="F34" s="25" t="s">
        <v>42</v>
      </c>
    </row>
    <row r="35" spans="1:6">
      <c r="A35" s="24" t="s">
        <v>50</v>
      </c>
      <c r="D35" s="25" t="s">
        <v>51</v>
      </c>
      <c r="E35" s="31">
        <f>SQRT(E34*10^4/E33)</f>
        <v>166.06625183943908</v>
      </c>
      <c r="F35" s="25" t="s">
        <v>36</v>
      </c>
    </row>
    <row r="36" spans="1:6">
      <c r="A36" s="24" t="s">
        <v>59</v>
      </c>
      <c r="D36" s="25" t="s">
        <v>49</v>
      </c>
      <c r="E36" s="32">
        <f>VLOOKUP(D27,A5:C10,3)</f>
        <v>2.1</v>
      </c>
      <c r="F36" s="25"/>
    </row>
    <row r="37" spans="1:6" ht="7.5" customHeight="1"/>
    <row r="38" spans="1:6">
      <c r="A38" s="28" t="s">
        <v>52</v>
      </c>
      <c r="E38" s="29" t="s">
        <v>56</v>
      </c>
    </row>
    <row r="39" spans="1:6">
      <c r="A39" s="24" t="s">
        <v>57</v>
      </c>
      <c r="D39" s="25" t="s">
        <v>53</v>
      </c>
      <c r="E39" s="30">
        <v>206000</v>
      </c>
      <c r="F39" s="25" t="s">
        <v>54</v>
      </c>
    </row>
    <row r="40" spans="1:6" ht="15.75" customHeight="1">
      <c r="D40" s="25" t="s">
        <v>79</v>
      </c>
      <c r="E40" s="32">
        <v>0.3</v>
      </c>
      <c r="F40" s="25"/>
    </row>
    <row r="41" spans="1:6">
      <c r="A41" s="24" t="s">
        <v>58</v>
      </c>
      <c r="D41" s="25" t="s">
        <v>55</v>
      </c>
      <c r="E41" s="33">
        <v>315</v>
      </c>
      <c r="F41" s="25" t="s">
        <v>54</v>
      </c>
    </row>
    <row r="42" spans="1:6" ht="7.5" customHeight="1"/>
    <row r="43" spans="1:6">
      <c r="A43" s="28" t="s">
        <v>66</v>
      </c>
    </row>
    <row r="44" spans="1:6">
      <c r="A44" s="24" t="s">
        <v>67</v>
      </c>
      <c r="E44" s="34">
        <f>270*9810</f>
        <v>2648700</v>
      </c>
      <c r="F44" s="25" t="s">
        <v>68</v>
      </c>
    </row>
    <row r="45" spans="1:6">
      <c r="A45" s="24" t="s">
        <v>69</v>
      </c>
      <c r="E45" s="34">
        <f>E44*0.05</f>
        <v>132435</v>
      </c>
      <c r="F45" s="25" t="s">
        <v>68</v>
      </c>
    </row>
    <row r="46" spans="1:6" ht="7.5" customHeight="1"/>
    <row r="47" spans="1:6">
      <c r="A47" s="28" t="s">
        <v>104</v>
      </c>
    </row>
    <row r="48" spans="1:6">
      <c r="A48" s="35" t="s">
        <v>60</v>
      </c>
      <c r="D48" s="25" t="s">
        <v>61</v>
      </c>
      <c r="E48" s="36">
        <f>PI()^2*E39*E35^2/(E36*E32)^2</f>
        <v>98.435616005018645</v>
      </c>
      <c r="F48" s="25" t="s">
        <v>63</v>
      </c>
    </row>
    <row r="49" spans="1:6">
      <c r="A49" s="24" t="s">
        <v>64</v>
      </c>
      <c r="D49" s="17" t="s">
        <v>103</v>
      </c>
      <c r="E49" s="37">
        <f>SQRT(E41/E48)</f>
        <v>1.7888715006845577</v>
      </c>
    </row>
    <row r="50" spans="1:6">
      <c r="A50" s="38" t="s">
        <v>65</v>
      </c>
      <c r="D50" s="25" t="s">
        <v>72</v>
      </c>
      <c r="E50" s="39">
        <f>E44/E33</f>
        <v>45.037788223023846</v>
      </c>
      <c r="F50" s="25" t="s">
        <v>63</v>
      </c>
    </row>
    <row r="51" spans="1:6">
      <c r="A51" s="38" t="s">
        <v>70</v>
      </c>
      <c r="D51" s="25" t="s">
        <v>73</v>
      </c>
      <c r="E51" s="40">
        <f>(E45*E32)/(E34*10^4/(E30/2))</f>
        <v>235.7151237241373</v>
      </c>
      <c r="F51" s="25" t="s">
        <v>63</v>
      </c>
    </row>
    <row r="52" spans="1:6">
      <c r="A52" s="24" t="s">
        <v>76</v>
      </c>
      <c r="D52" s="25" t="s">
        <v>77</v>
      </c>
      <c r="E52" s="24">
        <v>0.6</v>
      </c>
    </row>
    <row r="53" spans="1:6">
      <c r="A53" s="23" t="s">
        <v>101</v>
      </c>
      <c r="D53" s="25" t="s">
        <v>80</v>
      </c>
      <c r="E53" s="24">
        <v>10870</v>
      </c>
      <c r="F53" s="25" t="s">
        <v>81</v>
      </c>
    </row>
    <row r="54" spans="1:6">
      <c r="A54" s="23" t="s">
        <v>100</v>
      </c>
      <c r="D54" s="25" t="s">
        <v>82</v>
      </c>
      <c r="E54" s="24">
        <f>(E30-E31)/2</f>
        <v>234</v>
      </c>
      <c r="F54" s="25" t="s">
        <v>81</v>
      </c>
    </row>
    <row r="55" spans="1:6">
      <c r="A55" s="24" t="s">
        <v>84</v>
      </c>
      <c r="D55" s="25" t="s">
        <v>83</v>
      </c>
      <c r="E55" s="43">
        <f>E53^2/(E54*E31)*SQRT(1-E40^2)</f>
        <v>12042.147310673281</v>
      </c>
      <c r="F55" s="25"/>
    </row>
    <row r="56" spans="1:6" ht="16.5">
      <c r="A56" s="42" t="s">
        <v>78</v>
      </c>
      <c r="D56" s="25" t="s">
        <v>85</v>
      </c>
      <c r="E56" s="41">
        <f>0.35-0.0002*E54/E31</f>
        <v>0.34882999999999997</v>
      </c>
      <c r="F56" s="24" t="s">
        <v>106</v>
      </c>
    </row>
    <row r="57" spans="1:6">
      <c r="A57" s="24" t="s">
        <v>86</v>
      </c>
      <c r="D57" s="25" t="s">
        <v>87</v>
      </c>
      <c r="E57" s="33">
        <v>1</v>
      </c>
      <c r="F57" s="24" t="s">
        <v>107</v>
      </c>
    </row>
    <row r="58" spans="1:6">
      <c r="A58" s="23" t="s">
        <v>89</v>
      </c>
      <c r="D58" s="25" t="s">
        <v>90</v>
      </c>
      <c r="E58" s="44">
        <f>0.605*E39*E31/E54</f>
        <v>21304.273504273504</v>
      </c>
      <c r="F58" s="25" t="s">
        <v>63</v>
      </c>
    </row>
    <row r="59" spans="1:6">
      <c r="A59" s="23" t="s">
        <v>88</v>
      </c>
      <c r="D59" s="25" t="s">
        <v>91</v>
      </c>
      <c r="E59" s="44">
        <f>E56*E57*E58</f>
        <v>7431.5697264957262</v>
      </c>
      <c r="F59" s="25" t="s">
        <v>63</v>
      </c>
    </row>
    <row r="60" spans="1:6">
      <c r="A60" s="23" t="s">
        <v>102</v>
      </c>
      <c r="D60" s="25" t="s">
        <v>92</v>
      </c>
      <c r="E60" s="41">
        <f>E41*(1-E52*(1-E52)*E41/E59)</f>
        <v>311.7955625962714</v>
      </c>
      <c r="F60" s="46" t="s">
        <v>108</v>
      </c>
    </row>
    <row r="61" spans="1:6">
      <c r="A61" s="23" t="s">
        <v>99</v>
      </c>
      <c r="D61" s="25" t="s">
        <v>93</v>
      </c>
      <c r="E61" s="41">
        <f>E60</f>
        <v>311.7955625962714</v>
      </c>
      <c r="F61" s="45" t="s">
        <v>109</v>
      </c>
    </row>
    <row r="62" spans="1:6" ht="16.5">
      <c r="A62" s="42" t="s">
        <v>98</v>
      </c>
      <c r="D62" s="25" t="s">
        <v>96</v>
      </c>
      <c r="E62" s="41">
        <v>0.87</v>
      </c>
      <c r="F62" s="45" t="s">
        <v>110</v>
      </c>
    </row>
    <row r="63" spans="1:6">
      <c r="A63" s="42" t="s">
        <v>97</v>
      </c>
      <c r="D63" s="25" t="s">
        <v>95</v>
      </c>
      <c r="E63" s="47">
        <v>0.52200000000000002</v>
      </c>
    </row>
    <row r="64" spans="1:6">
      <c r="A64" s="24" t="s">
        <v>105</v>
      </c>
      <c r="D64" s="25" t="s">
        <v>94</v>
      </c>
      <c r="E64" s="41">
        <f>E50/(E63*E61)+E51/(E63*E60*(1-E50/(E63*E48)))</f>
        <v>12.003985791577437</v>
      </c>
      <c r="F64" s="25" t="str">
        <f>IF(E64 &lt; 1, "OK", "NG")</f>
        <v>NG</v>
      </c>
    </row>
    <row r="65" spans="6:6">
      <c r="F65" s="45"/>
    </row>
  </sheetData>
  <phoneticPr fontId="2" type="noConversion"/>
  <dataValidations count="1">
    <dataValidation type="list" allowBlank="1" showInputMessage="1" showErrorMessage="1" sqref="D27">
      <formula1>$A$5:$A$10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7" sqref="F7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2"/>
  <sheetViews>
    <sheetView tabSelected="1" zoomScale="85" zoomScaleNormal="85" workbookViewId="0">
      <selection activeCell="B19" sqref="B19"/>
    </sheetView>
  </sheetViews>
  <sheetFormatPr defaultColWidth="12.125" defaultRowHeight="15"/>
  <cols>
    <col min="1" max="3" width="12.125" style="24"/>
    <col min="4" max="4" width="14.375" style="24" bestFit="1" customWidth="1"/>
    <col min="5" max="16384" width="12.125" style="24"/>
  </cols>
  <sheetData>
    <row r="1" spans="1:8" ht="15.75">
      <c r="A1" s="48" t="s">
        <v>136</v>
      </c>
    </row>
    <row r="3" spans="1:8">
      <c r="A3" s="28" t="s">
        <v>34</v>
      </c>
      <c r="D3" s="29" t="s">
        <v>41</v>
      </c>
    </row>
    <row r="4" spans="1:8">
      <c r="A4" s="24" t="s">
        <v>35</v>
      </c>
      <c r="C4" s="25" t="s">
        <v>10</v>
      </c>
      <c r="D4" s="30">
        <v>508</v>
      </c>
      <c r="E4" s="25" t="s">
        <v>11</v>
      </c>
    </row>
    <row r="5" spans="1:8">
      <c r="A5" s="24" t="s">
        <v>37</v>
      </c>
      <c r="C5" s="25" t="s">
        <v>9</v>
      </c>
      <c r="D5" s="30">
        <v>40</v>
      </c>
      <c r="E5" s="25" t="s">
        <v>11</v>
      </c>
    </row>
    <row r="6" spans="1:8">
      <c r="A6" s="24" t="s">
        <v>38</v>
      </c>
      <c r="C6" s="25" t="s">
        <v>46</v>
      </c>
      <c r="D6" s="30">
        <v>10800</v>
      </c>
      <c r="E6" s="25" t="s">
        <v>11</v>
      </c>
    </row>
    <row r="7" spans="1:8">
      <c r="A7" s="24" t="s">
        <v>39</v>
      </c>
      <c r="C7" s="25" t="s">
        <v>8</v>
      </c>
      <c r="D7" s="51">
        <f>PI()*(D4^2-(D4-2*D5)^2)/4</f>
        <v>58810.614475200928</v>
      </c>
      <c r="E7" s="25" t="s">
        <v>14</v>
      </c>
    </row>
    <row r="8" spans="1:8">
      <c r="A8" s="24" t="s">
        <v>40</v>
      </c>
      <c r="C8" s="25" t="s">
        <v>7</v>
      </c>
      <c r="D8" s="30">
        <f>(PI()*(D4^4-(D4-2*D5)^4)/64)/10000</f>
        <v>162187.91259970912</v>
      </c>
      <c r="E8" s="25" t="s">
        <v>42</v>
      </c>
    </row>
    <row r="9" spans="1:8">
      <c r="A9" s="24" t="s">
        <v>50</v>
      </c>
      <c r="C9" s="25" t="s">
        <v>51</v>
      </c>
      <c r="D9" s="31">
        <f>SQRT(D8*10^4/D7)</f>
        <v>166.06625183943908</v>
      </c>
      <c r="E9" s="25" t="s">
        <v>11</v>
      </c>
    </row>
    <row r="10" spans="1:8">
      <c r="A10" s="24" t="s">
        <v>59</v>
      </c>
      <c r="C10" s="25" t="s">
        <v>49</v>
      </c>
      <c r="D10" s="32">
        <v>2.1</v>
      </c>
      <c r="E10" s="25"/>
    </row>
    <row r="12" spans="1:8">
      <c r="A12" s="28" t="s">
        <v>52</v>
      </c>
      <c r="D12" s="29" t="s">
        <v>56</v>
      </c>
    </row>
    <row r="13" spans="1:8">
      <c r="A13" s="24" t="s">
        <v>57</v>
      </c>
      <c r="C13" s="25" t="s">
        <v>53</v>
      </c>
      <c r="D13" s="30">
        <v>206000</v>
      </c>
      <c r="E13" s="25" t="s">
        <v>5</v>
      </c>
    </row>
    <row r="14" spans="1:8">
      <c r="A14" s="24" t="s">
        <v>123</v>
      </c>
      <c r="C14" s="25" t="s">
        <v>124</v>
      </c>
      <c r="D14" s="32">
        <v>0.3</v>
      </c>
      <c r="E14" s="25"/>
    </row>
    <row r="15" spans="1:8">
      <c r="A15" s="24" t="s">
        <v>58</v>
      </c>
      <c r="C15" s="25" t="s">
        <v>6</v>
      </c>
      <c r="D15" s="33">
        <v>315</v>
      </c>
      <c r="E15" s="25" t="s">
        <v>5</v>
      </c>
    </row>
    <row r="16" spans="1:8">
      <c r="G16" s="24">
        <f>G17*0.05</f>
        <v>13.5</v>
      </c>
      <c r="H16" s="24">
        <f>G16*9.81</f>
        <v>132.435</v>
      </c>
    </row>
    <row r="17" spans="1:9">
      <c r="A17" s="24" t="s">
        <v>141</v>
      </c>
      <c r="C17" s="25" t="s">
        <v>142</v>
      </c>
      <c r="D17" s="24">
        <f>200*9810</f>
        <v>1962000</v>
      </c>
      <c r="E17" s="25" t="s">
        <v>5</v>
      </c>
      <c r="G17" s="24">
        <v>270</v>
      </c>
      <c r="H17" s="24">
        <f>G17*9.81</f>
        <v>2648.7000000000003</v>
      </c>
    </row>
    <row r="18" spans="1:9">
      <c r="A18" s="24" t="s">
        <v>144</v>
      </c>
      <c r="C18" s="25" t="s">
        <v>145</v>
      </c>
      <c r="D18" s="24">
        <f>D17*0.05</f>
        <v>98100</v>
      </c>
      <c r="E18" s="25" t="s">
        <v>5</v>
      </c>
      <c r="G18" s="24">
        <f>200*0.05*9.81</f>
        <v>98.100000000000009</v>
      </c>
      <c r="I18" s="24">
        <f>200*9.81</f>
        <v>1962</v>
      </c>
    </row>
    <row r="19" spans="1:9">
      <c r="C19" s="25" t="s">
        <v>82</v>
      </c>
      <c r="D19" s="58">
        <f>D4-D5</f>
        <v>468</v>
      </c>
      <c r="E19" s="25" t="s">
        <v>11</v>
      </c>
    </row>
    <row r="20" spans="1:9">
      <c r="C20" s="25" t="s">
        <v>137</v>
      </c>
      <c r="D20" s="49">
        <f>D10*D6/D19</f>
        <v>48.46153846153846</v>
      </c>
      <c r="E20" s="25"/>
    </row>
    <row r="21" spans="1:9">
      <c r="C21" s="25"/>
      <c r="D21" s="49">
        <f>SQRT(2*PI()^2*D13/D15)</f>
        <v>113.61697018964907</v>
      </c>
      <c r="E21" s="25"/>
    </row>
    <row r="22" spans="1:9">
      <c r="A22" s="35"/>
      <c r="C22" s="25" t="s">
        <v>21</v>
      </c>
      <c r="D22" s="49">
        <f>D15-(D15^2/(4*PI()^2*D13))*D20^2</f>
        <v>286.34578304720111</v>
      </c>
      <c r="E22" s="25" t="s">
        <v>5</v>
      </c>
    </row>
    <row r="23" spans="1:9">
      <c r="C23" s="25" t="s">
        <v>138</v>
      </c>
      <c r="D23" s="37">
        <f>1.67*(1+0.15*D20/D21)</f>
        <v>1.7768468501171257</v>
      </c>
    </row>
    <row r="24" spans="1:9">
      <c r="C24" s="25" t="s">
        <v>139</v>
      </c>
      <c r="D24" s="54">
        <f>D22/D23</f>
        <v>161.15389068468443</v>
      </c>
      <c r="E24" s="25" t="s">
        <v>5</v>
      </c>
      <c r="F24" s="25"/>
    </row>
    <row r="25" spans="1:9">
      <c r="C25" s="25" t="s">
        <v>140</v>
      </c>
      <c r="D25" s="53">
        <f>D17/D7</f>
        <v>33.361324609647291</v>
      </c>
      <c r="E25" s="56" t="s">
        <v>5</v>
      </c>
      <c r="F25" s="30"/>
    </row>
    <row r="26" spans="1:9">
      <c r="C26" s="25" t="s">
        <v>143</v>
      </c>
      <c r="D26" s="53">
        <f>D18*D6*0.5*D4/(D8*10^4)</f>
        <v>165.92353627743935</v>
      </c>
      <c r="E26" s="56" t="s">
        <v>5</v>
      </c>
      <c r="F26" s="30"/>
    </row>
    <row r="27" spans="1:9">
      <c r="C27" s="25"/>
      <c r="D27" s="55"/>
      <c r="E27" s="25"/>
    </row>
    <row r="28" spans="1:9">
      <c r="C28" s="25"/>
      <c r="D28" s="44"/>
      <c r="E28" s="25"/>
    </row>
    <row r="29" spans="1:9">
      <c r="C29" s="25"/>
      <c r="E29" s="25"/>
    </row>
    <row r="30" spans="1:9">
      <c r="C30" s="25"/>
      <c r="D30" s="36"/>
    </row>
    <row r="31" spans="1:9">
      <c r="C31" s="25"/>
    </row>
    <row r="32" spans="1:9">
      <c r="C32" s="25"/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ColumnBuckling</vt:lpstr>
      <vt:lpstr>ColumnBuckling (2)</vt:lpstr>
      <vt:lpstr>ColumnBuckling (3)</vt:lpstr>
      <vt:lpstr>Sheet1</vt:lpstr>
      <vt:lpstr>ColumnBuckling (4)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wjeong</dc:creator>
  <cp:lastModifiedBy>wjeong</cp:lastModifiedBy>
  <cp:lastPrinted>2015-01-20T17:48:14Z</cp:lastPrinted>
  <dcterms:created xsi:type="dcterms:W3CDTF">2015-01-15T00:18:56Z</dcterms:created>
  <dcterms:modified xsi:type="dcterms:W3CDTF">2015-01-26T14:08:23Z</dcterms:modified>
</cp:coreProperties>
</file>